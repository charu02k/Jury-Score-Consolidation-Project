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sar\OneDrive\Desktop\CHARU\"/>
    </mc:Choice>
  </mc:AlternateContent>
  <xr:revisionPtr revIDLastSave="0" documentId="13_ncr:1_{C2D19297-0EF8-4E65-88A6-E097FDE4D402}" xr6:coauthVersionLast="47" xr6:coauthVersionMax="47" xr10:uidLastSave="{00000000-0000-0000-0000-000000000000}"/>
  <bookViews>
    <workbookView xWindow="-108" yWindow="-108" windowWidth="23256" windowHeight="12456" activeTab="3" xr2:uid="{F439CE2D-0725-4EB3-AC66-89B775E26ADE}"/>
  </bookViews>
  <sheets>
    <sheet name="Jury1" sheetId="1" r:id="rId1"/>
    <sheet name="Jury2" sheetId="2" r:id="rId2"/>
    <sheet name="Jury3" sheetId="3" r:id="rId3"/>
    <sheet name="main_Sheet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4" l="1"/>
  <c r="R4" i="4"/>
  <c r="R5" i="4"/>
  <c r="R6" i="4"/>
  <c r="R7" i="4"/>
  <c r="R8" i="4"/>
  <c r="R9" i="4"/>
  <c r="R10" i="4"/>
  <c r="R3" i="4"/>
  <c r="Q4" i="4"/>
  <c r="Q5" i="4"/>
  <c r="Q6" i="4"/>
  <c r="Q7" i="4"/>
  <c r="Q8" i="4"/>
  <c r="Q9" i="4"/>
  <c r="Q10" i="4"/>
  <c r="Q3" i="4"/>
  <c r="P4" i="4"/>
  <c r="P5" i="4"/>
  <c r="P6" i="4"/>
  <c r="P7" i="4"/>
  <c r="P8" i="4"/>
  <c r="P9" i="4"/>
  <c r="P10" i="4"/>
  <c r="P3" i="4"/>
  <c r="K4" i="4"/>
  <c r="K5" i="4"/>
  <c r="K6" i="4"/>
  <c r="K7" i="4"/>
  <c r="K8" i="4"/>
  <c r="K9" i="4"/>
  <c r="K10" i="4"/>
  <c r="L4" i="4"/>
  <c r="L5" i="4"/>
  <c r="L6" i="4"/>
  <c r="L7" i="4"/>
  <c r="L8" i="4"/>
  <c r="L9" i="4"/>
  <c r="L10" i="4"/>
  <c r="L3" i="4"/>
  <c r="O4" i="4"/>
  <c r="O5" i="4"/>
  <c r="O6" i="4"/>
  <c r="O7" i="4"/>
  <c r="O8" i="4"/>
  <c r="O9" i="4"/>
  <c r="O10" i="4"/>
  <c r="O3" i="4"/>
  <c r="N4" i="4"/>
  <c r="N5" i="4"/>
  <c r="N6" i="4"/>
  <c r="N7" i="4"/>
  <c r="N8" i="4"/>
  <c r="N9" i="4"/>
  <c r="N10" i="4"/>
  <c r="N3" i="4"/>
  <c r="M4" i="4"/>
  <c r="M5" i="4"/>
  <c r="M6" i="4"/>
  <c r="M7" i="4"/>
  <c r="M8" i="4"/>
  <c r="M9" i="4"/>
  <c r="M10" i="4"/>
  <c r="M3" i="4"/>
  <c r="K3" i="4"/>
  <c r="J4" i="4"/>
  <c r="J5" i="4"/>
  <c r="J6" i="4"/>
  <c r="J7" i="4"/>
  <c r="J8" i="4"/>
  <c r="J9" i="4"/>
  <c r="J10" i="4"/>
  <c r="J3" i="4"/>
  <c r="I4" i="4"/>
  <c r="I5" i="4"/>
  <c r="I6" i="4"/>
  <c r="I7" i="4"/>
  <c r="I8" i="4"/>
  <c r="I9" i="4"/>
  <c r="I10" i="4"/>
  <c r="I3" i="4"/>
  <c r="H4" i="4"/>
  <c r="H5" i="4"/>
  <c r="H6" i="4"/>
  <c r="H7" i="4"/>
  <c r="H8" i="4"/>
  <c r="H9" i="4"/>
  <c r="H10" i="4"/>
  <c r="H3" i="4"/>
  <c r="G4" i="4"/>
  <c r="G5" i="4"/>
  <c r="G6" i="4"/>
  <c r="G7" i="4"/>
  <c r="G8" i="4"/>
  <c r="G9" i="4"/>
  <c r="G10" i="4"/>
  <c r="F4" i="4"/>
  <c r="F5" i="4"/>
  <c r="U5" i="4" s="1"/>
  <c r="F6" i="4"/>
  <c r="U6" i="4" s="1"/>
  <c r="F7" i="4"/>
  <c r="F8" i="4"/>
  <c r="U8" i="4" s="1"/>
  <c r="F9" i="4"/>
  <c r="F10" i="4"/>
  <c r="F3" i="4"/>
  <c r="U3" i="4" s="1"/>
  <c r="E4" i="4"/>
  <c r="E5" i="4"/>
  <c r="T5" i="4" s="1"/>
  <c r="E6" i="4"/>
  <c r="T6" i="4" s="1"/>
  <c r="E7" i="4"/>
  <c r="E8" i="4"/>
  <c r="T8" i="4" s="1"/>
  <c r="E9" i="4"/>
  <c r="E10" i="4"/>
  <c r="E3" i="4"/>
  <c r="T3" i="4" s="1"/>
  <c r="D4" i="4"/>
  <c r="D5" i="4"/>
  <c r="S5" i="4" s="1"/>
  <c r="D6" i="4"/>
  <c r="S6" i="4" s="1"/>
  <c r="V6" i="4" s="1"/>
  <c r="D7" i="4"/>
  <c r="D8" i="4"/>
  <c r="S8" i="4" s="1"/>
  <c r="V8" i="4" s="1"/>
  <c r="D9" i="4"/>
  <c r="D10" i="4"/>
  <c r="D3" i="4"/>
  <c r="J9" i="3"/>
  <c r="J8" i="3"/>
  <c r="J7" i="3"/>
  <c r="J6" i="3"/>
  <c r="J5" i="3"/>
  <c r="J4" i="3"/>
  <c r="J3" i="3"/>
  <c r="J2" i="3"/>
  <c r="J9" i="2"/>
  <c r="J8" i="2"/>
  <c r="J7" i="2"/>
  <c r="J6" i="2"/>
  <c r="J5" i="2"/>
  <c r="J4" i="2"/>
  <c r="J3" i="2"/>
  <c r="J2" i="2"/>
  <c r="J3" i="1"/>
  <c r="J4" i="1"/>
  <c r="J5" i="1"/>
  <c r="J6" i="1"/>
  <c r="J7" i="1"/>
  <c r="J8" i="1"/>
  <c r="J9" i="1"/>
  <c r="J2" i="1"/>
  <c r="U9" i="4" l="1"/>
  <c r="T9" i="4"/>
  <c r="S9" i="4"/>
  <c r="S10" i="4"/>
  <c r="T10" i="4"/>
  <c r="U10" i="4"/>
  <c r="S7" i="4"/>
  <c r="T7" i="4"/>
  <c r="U7" i="4"/>
  <c r="V5" i="4"/>
  <c r="S4" i="4"/>
  <c r="T4" i="4"/>
  <c r="U4" i="4"/>
  <c r="S3" i="4"/>
  <c r="V3" i="4" s="1"/>
  <c r="V10" i="4" l="1"/>
  <c r="W10" i="4" s="1"/>
  <c r="V9" i="4"/>
  <c r="W9" i="4" s="1"/>
  <c r="V4" i="4"/>
  <c r="V7" i="4"/>
  <c r="W5" i="4"/>
  <c r="W7" i="4" l="1"/>
  <c r="W6" i="4"/>
  <c r="W4" i="4"/>
  <c r="W3" i="4"/>
  <c r="W8" i="4"/>
</calcChain>
</file>

<file path=xl/sharedStrings.xml><?xml version="1.0" encoding="utf-8"?>
<sst xmlns="http://schemas.openxmlformats.org/spreadsheetml/2006/main" count="147" uniqueCount="40">
  <si>
    <t>Team Name</t>
  </si>
  <si>
    <t>Code Crusaders</t>
  </si>
  <si>
    <t>Debug Thugs</t>
  </si>
  <si>
    <t>Byte Busters</t>
  </si>
  <si>
    <t>HackStreet Boys</t>
  </si>
  <si>
    <t>Algorithm Avengers</t>
  </si>
  <si>
    <t>Pixel Pioneers</t>
  </si>
  <si>
    <t>Ctrl Alt Defeat</t>
  </si>
  <si>
    <t>The Innovators</t>
  </si>
  <si>
    <t xml:space="preserve">Team Strength </t>
  </si>
  <si>
    <t>Innovation/Creativity (Out of 10)</t>
  </si>
  <si>
    <t xml:space="preserve">Team Lead Name </t>
  </si>
  <si>
    <t>Technical Implementation (Out of 10)</t>
  </si>
  <si>
    <t>Impact / Usefulness (Out of 10)</t>
  </si>
  <si>
    <t>Presentation / Clarity (Out of 10)</t>
  </si>
  <si>
    <t>Scalability / Sustainability (Out of 10)</t>
  </si>
  <si>
    <t>Aarav Mehta</t>
  </si>
  <si>
    <t>Riya Sharma</t>
  </si>
  <si>
    <t>Kunal Verma</t>
  </si>
  <si>
    <t>Sneha Iyer</t>
  </si>
  <si>
    <t>Arjun Deshmukh</t>
  </si>
  <si>
    <t>Priya Nair</t>
  </si>
  <si>
    <t>Rohit Bansal</t>
  </si>
  <si>
    <t>Neha Kulkarni</t>
  </si>
  <si>
    <t>Remarks</t>
  </si>
  <si>
    <t>Total</t>
  </si>
  <si>
    <t>Very Good!</t>
  </si>
  <si>
    <t>Excellent!</t>
  </si>
  <si>
    <t>Good!</t>
  </si>
  <si>
    <t>Jury 1        Rajesh Malhotra</t>
  </si>
  <si>
    <t>Jury 2   Ananya Iyer</t>
  </si>
  <si>
    <t>Jury 3    Vikram Deshpande</t>
  </si>
  <si>
    <t>Technical Implementation              (Out of 10)</t>
  </si>
  <si>
    <t>Innovation/Creativity                                          (Out of 10)</t>
  </si>
  <si>
    <t>Impact / Usefulness                     (Out of 10)</t>
  </si>
  <si>
    <t>Presentation / Clarity                     (Out of 10)</t>
  </si>
  <si>
    <t>Scalability / Sustainability            (Out of 10)</t>
  </si>
  <si>
    <t>Total (Out of 50)</t>
  </si>
  <si>
    <t>Rank</t>
  </si>
  <si>
    <t>Grand Total (Out of 150)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</si>
</sst>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2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3" fillId="3" borderId="1" xfId="0" applyFont="1" applyFill="1" applyBorder="1"/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39" xfId="0" applyBorder="1"/>
    <xf numFmtId="0" fontId="3" fillId="4" borderId="25" xfId="0" applyFont="1" applyFill="1" applyBorder="1" applyAlignment="1">
      <alignment horizontal="center" wrapText="1"/>
    </xf>
    <xf numFmtId="0" fontId="3" fillId="5" borderId="22" xfId="0" applyFont="1" applyFill="1" applyBorder="1" applyAlignment="1">
      <alignment horizontal="center" wrapText="1"/>
    </xf>
    <xf numFmtId="0" fontId="3" fillId="6" borderId="22" xfId="0" applyFont="1" applyFill="1" applyBorder="1" applyAlignment="1">
      <alignment horizontal="center" wrapText="1"/>
    </xf>
    <xf numFmtId="0" fontId="0" fillId="4" borderId="6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38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36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3" fillId="5" borderId="25" xfId="0" applyFont="1" applyFill="1" applyBorder="1" applyAlignment="1">
      <alignment horizontal="center" wrapText="1"/>
    </xf>
    <xf numFmtId="0" fontId="0" fillId="5" borderId="6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3" fillId="6" borderId="25" xfId="0" applyFont="1" applyFill="1" applyBorder="1" applyAlignment="1">
      <alignment horizontal="center" wrapText="1"/>
    </xf>
    <xf numFmtId="0" fontId="0" fillId="6" borderId="20" xfId="0" applyFill="1" applyBorder="1" applyAlignment="1">
      <alignment horizontal="center"/>
    </xf>
    <xf numFmtId="0" fontId="0" fillId="6" borderId="24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23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3" fillId="5" borderId="30" xfId="0" applyFont="1" applyFill="1" applyBorder="1" applyAlignment="1">
      <alignment horizontal="center" wrapText="1"/>
    </xf>
    <xf numFmtId="0" fontId="3" fillId="6" borderId="30" xfId="0" applyFont="1" applyFill="1" applyBorder="1" applyAlignment="1">
      <alignment horizontal="center" wrapText="1"/>
    </xf>
    <xf numFmtId="0" fontId="0" fillId="6" borderId="2" xfId="0" applyFill="1" applyBorder="1" applyAlignment="1">
      <alignment horizontal="center"/>
    </xf>
    <xf numFmtId="0" fontId="3" fillId="5" borderId="31" xfId="0" applyFont="1" applyFill="1" applyBorder="1" applyAlignment="1">
      <alignment horizontal="center" wrapText="1"/>
    </xf>
    <xf numFmtId="0" fontId="0" fillId="6" borderId="1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6" fillId="7" borderId="20" xfId="0" applyFont="1" applyFill="1" applyBorder="1"/>
    <xf numFmtId="0" fontId="6" fillId="7" borderId="27" xfId="0" applyFont="1" applyFill="1" applyBorder="1" applyAlignment="1">
      <alignment horizontal="center"/>
    </xf>
    <xf numFmtId="0" fontId="6" fillId="7" borderId="10" xfId="0" applyFont="1" applyFill="1" applyBorder="1"/>
    <xf numFmtId="0" fontId="6" fillId="7" borderId="11" xfId="0" applyFont="1" applyFill="1" applyBorder="1"/>
    <xf numFmtId="0" fontId="6" fillId="7" borderId="17" xfId="0" applyFont="1" applyFill="1" applyBorder="1" applyAlignment="1">
      <alignment horizontal="center"/>
    </xf>
    <xf numFmtId="0" fontId="6" fillId="7" borderId="16" xfId="0" applyFont="1" applyFill="1" applyBorder="1"/>
    <xf numFmtId="0" fontId="6" fillId="7" borderId="9" xfId="0" applyFont="1" applyFill="1" applyBorder="1"/>
    <xf numFmtId="0" fontId="6" fillId="7" borderId="16" xfId="0" applyFont="1" applyFill="1" applyBorder="1" applyAlignment="1">
      <alignment horizontal="center"/>
    </xf>
    <xf numFmtId="0" fontId="6" fillId="7" borderId="15" xfId="0" applyFont="1" applyFill="1" applyBorder="1" applyAlignment="1">
      <alignment horizontal="center"/>
    </xf>
    <xf numFmtId="0" fontId="6" fillId="7" borderId="12" xfId="0" applyFont="1" applyFill="1" applyBorder="1"/>
    <xf numFmtId="0" fontId="6" fillId="7" borderId="37" xfId="0" applyFont="1" applyFill="1" applyBorder="1"/>
    <xf numFmtId="0" fontId="6" fillId="7" borderId="19" xfId="0" applyFont="1" applyFill="1" applyBorder="1" applyAlignment="1">
      <alignment horizontal="center"/>
    </xf>
    <xf numFmtId="0" fontId="6" fillId="7" borderId="34" xfId="0" applyFont="1" applyFill="1" applyBorder="1"/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5" fillId="7" borderId="26" xfId="0" applyFont="1" applyFill="1" applyBorder="1" applyAlignment="1">
      <alignment horizontal="center" vertical="center"/>
    </xf>
    <xf numFmtId="0" fontId="5" fillId="7" borderId="28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21" xfId="0" applyFont="1" applyFill="1" applyBorder="1" applyAlignment="1">
      <alignment horizontal="center" vertical="center"/>
    </xf>
    <xf numFmtId="0" fontId="5" fillId="7" borderId="27" xfId="0" applyFont="1" applyFill="1" applyBorder="1" applyAlignment="1">
      <alignment horizontal="center" vertical="center"/>
    </xf>
    <xf numFmtId="0" fontId="5" fillId="7" borderId="32" xfId="0" applyFont="1" applyFill="1" applyBorder="1" applyAlignment="1">
      <alignment horizontal="center" vertical="center" wrapText="1"/>
    </xf>
    <xf numFmtId="0" fontId="5" fillId="7" borderId="33" xfId="0" applyFont="1" applyFill="1" applyBorder="1" applyAlignment="1">
      <alignment horizontal="center" vertical="center" wrapText="1"/>
    </xf>
    <xf numFmtId="0" fontId="5" fillId="7" borderId="34" xfId="0" applyFont="1" applyFill="1" applyBorder="1" applyAlignment="1">
      <alignment horizontal="center" vertical="center" wrapText="1"/>
    </xf>
    <xf numFmtId="0" fontId="5" fillId="7" borderId="26" xfId="0" applyFont="1" applyFill="1" applyBorder="1" applyAlignment="1">
      <alignment horizontal="center" vertical="center" wrapText="1"/>
    </xf>
    <xf numFmtId="0" fontId="5" fillId="7" borderId="28" xfId="0" applyFont="1" applyFill="1" applyBorder="1" applyAlignment="1">
      <alignment horizontal="center" vertical="center" wrapText="1"/>
    </xf>
    <xf numFmtId="0" fontId="5" fillId="7" borderId="29" xfId="0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/>
    </xf>
    <xf numFmtId="0" fontId="5" fillId="7" borderId="15" xfId="0" applyFont="1" applyFill="1" applyBorder="1" applyAlignment="1">
      <alignment horizontal="center" vertical="center"/>
    </xf>
    <xf numFmtId="0" fontId="5" fillId="7" borderId="19" xfId="0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center" vertical="center"/>
    </xf>
    <xf numFmtId="0" fontId="5" fillId="7" borderId="35" xfId="0" applyFont="1" applyFill="1" applyBorder="1" applyAlignment="1">
      <alignment horizontal="center" vertical="center"/>
    </xf>
    <xf numFmtId="0" fontId="5" fillId="7" borderId="21" xfId="0" applyFont="1" applyFill="1" applyBorder="1" applyAlignment="1">
      <alignment horizontal="center" vertical="center" wrapText="1"/>
    </xf>
    <xf numFmtId="0" fontId="5" fillId="7" borderId="27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9" xfId="0" applyFont="1" applyBorder="1" applyAlignment="1">
      <alignment horizontal="center"/>
    </xf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CFA44-14D7-47AB-AF7D-32A79F5972FC}">
  <dimension ref="A1:J9"/>
  <sheetViews>
    <sheetView zoomScaleNormal="100" workbookViewId="0">
      <pane xSplit="3" topLeftCell="D1" activePane="topRight" state="frozen"/>
      <selection pane="topRight" activeCell="A16" sqref="A16"/>
    </sheetView>
  </sheetViews>
  <sheetFormatPr defaultRowHeight="14.4" x14ac:dyDescent="0.3"/>
  <cols>
    <col min="1" max="1" width="17.44140625" customWidth="1"/>
    <col min="2" max="2" width="21.5546875" customWidth="1"/>
    <col min="3" max="3" width="23" customWidth="1"/>
    <col min="4" max="4" width="28.33203125" customWidth="1"/>
    <col min="5" max="5" width="33.6640625" customWidth="1"/>
    <col min="6" max="6" width="26.21875" customWidth="1"/>
    <col min="7" max="7" width="27.88671875" customWidth="1"/>
    <col min="8" max="8" width="32.5546875" customWidth="1"/>
    <col min="9" max="9" width="17.5546875" customWidth="1"/>
    <col min="10" max="10" width="14.77734375" customWidth="1"/>
  </cols>
  <sheetData>
    <row r="1" spans="1:10" ht="68.400000000000006" customHeight="1" x14ac:dyDescent="0.3">
      <c r="A1" s="1" t="s">
        <v>0</v>
      </c>
      <c r="B1" s="1" t="s">
        <v>9</v>
      </c>
      <c r="C1" s="1" t="s">
        <v>11</v>
      </c>
      <c r="D1" s="8" t="s">
        <v>10</v>
      </c>
      <c r="E1" s="8" t="s">
        <v>12</v>
      </c>
      <c r="F1" s="8" t="s">
        <v>13</v>
      </c>
      <c r="G1" s="8" t="s">
        <v>14</v>
      </c>
      <c r="H1" s="8" t="s">
        <v>15</v>
      </c>
      <c r="I1" s="5" t="s">
        <v>24</v>
      </c>
      <c r="J1" s="4" t="s">
        <v>25</v>
      </c>
    </row>
    <row r="2" spans="1:10" ht="15.6" x14ac:dyDescent="0.3">
      <c r="A2" s="3" t="s">
        <v>1</v>
      </c>
      <c r="B2" s="7">
        <v>2</v>
      </c>
      <c r="C2" s="3" t="s">
        <v>16</v>
      </c>
      <c r="D2" s="6">
        <v>5</v>
      </c>
      <c r="E2" s="6">
        <v>8</v>
      </c>
      <c r="F2" s="6">
        <v>5</v>
      </c>
      <c r="G2" s="6">
        <v>6</v>
      </c>
      <c r="H2" s="6">
        <v>5</v>
      </c>
      <c r="I2" s="53" t="s">
        <v>28</v>
      </c>
      <c r="J2" s="2">
        <f>SUM(D2:H2)</f>
        <v>29</v>
      </c>
    </row>
    <row r="3" spans="1:10" ht="15.6" x14ac:dyDescent="0.3">
      <c r="A3" s="3" t="s">
        <v>2</v>
      </c>
      <c r="B3" s="7">
        <v>3</v>
      </c>
      <c r="C3" s="3" t="s">
        <v>17</v>
      </c>
      <c r="D3" s="6">
        <v>7</v>
      </c>
      <c r="E3" s="6">
        <v>5</v>
      </c>
      <c r="F3" s="6">
        <v>6</v>
      </c>
      <c r="G3" s="6">
        <v>7</v>
      </c>
      <c r="H3" s="6">
        <v>6</v>
      </c>
      <c r="I3" s="53" t="s">
        <v>28</v>
      </c>
      <c r="J3" s="2">
        <f t="shared" ref="J3:J9" si="0">SUM(D3:H3)</f>
        <v>31</v>
      </c>
    </row>
    <row r="4" spans="1:10" ht="15.6" x14ac:dyDescent="0.3">
      <c r="A4" s="3" t="s">
        <v>3</v>
      </c>
      <c r="B4" s="7">
        <v>2</v>
      </c>
      <c r="C4" s="3" t="s">
        <v>18</v>
      </c>
      <c r="D4" s="6">
        <v>6.5</v>
      </c>
      <c r="E4" s="6">
        <v>7</v>
      </c>
      <c r="F4" s="6">
        <v>7</v>
      </c>
      <c r="G4" s="6">
        <v>9</v>
      </c>
      <c r="H4" s="6">
        <v>8</v>
      </c>
      <c r="I4" s="53" t="s">
        <v>26</v>
      </c>
      <c r="J4" s="2">
        <f t="shared" si="0"/>
        <v>37.5</v>
      </c>
    </row>
    <row r="5" spans="1:10" ht="15.6" x14ac:dyDescent="0.3">
      <c r="A5" s="3" t="s">
        <v>4</v>
      </c>
      <c r="B5" s="7">
        <v>3</v>
      </c>
      <c r="C5" s="3" t="s">
        <v>19</v>
      </c>
      <c r="D5" s="6">
        <v>6</v>
      </c>
      <c r="E5" s="6">
        <v>5</v>
      </c>
      <c r="F5" s="6">
        <v>9</v>
      </c>
      <c r="G5" s="6">
        <v>5</v>
      </c>
      <c r="H5" s="6">
        <v>8</v>
      </c>
      <c r="I5" s="53" t="s">
        <v>28</v>
      </c>
      <c r="J5" s="2">
        <f t="shared" si="0"/>
        <v>33</v>
      </c>
    </row>
    <row r="6" spans="1:10" ht="15.6" x14ac:dyDescent="0.3">
      <c r="A6" s="3" t="s">
        <v>5</v>
      </c>
      <c r="B6" s="7">
        <v>2</v>
      </c>
      <c r="C6" s="3" t="s">
        <v>20</v>
      </c>
      <c r="D6" s="6">
        <v>8</v>
      </c>
      <c r="E6" s="6">
        <v>8.5</v>
      </c>
      <c r="F6" s="6">
        <v>5.5</v>
      </c>
      <c r="G6" s="6">
        <v>6</v>
      </c>
      <c r="H6" s="6">
        <v>6</v>
      </c>
      <c r="I6" s="53" t="s">
        <v>26</v>
      </c>
      <c r="J6" s="2">
        <f t="shared" si="0"/>
        <v>34</v>
      </c>
    </row>
    <row r="7" spans="1:10" ht="15.6" x14ac:dyDescent="0.3">
      <c r="A7" s="3" t="s">
        <v>6</v>
      </c>
      <c r="B7" s="7">
        <v>4</v>
      </c>
      <c r="C7" s="3" t="s">
        <v>21</v>
      </c>
      <c r="D7" s="6">
        <v>9</v>
      </c>
      <c r="E7" s="6">
        <v>6</v>
      </c>
      <c r="F7" s="6">
        <v>7</v>
      </c>
      <c r="G7" s="6">
        <v>8</v>
      </c>
      <c r="H7" s="6">
        <v>5.6</v>
      </c>
      <c r="I7" s="53" t="s">
        <v>26</v>
      </c>
      <c r="J7" s="2">
        <f t="shared" si="0"/>
        <v>35.6</v>
      </c>
    </row>
    <row r="8" spans="1:10" ht="15.6" x14ac:dyDescent="0.3">
      <c r="A8" s="3" t="s">
        <v>7</v>
      </c>
      <c r="B8" s="7">
        <v>3</v>
      </c>
      <c r="C8" s="3" t="s">
        <v>22</v>
      </c>
      <c r="D8" s="6">
        <v>7</v>
      </c>
      <c r="E8" s="6">
        <v>5</v>
      </c>
      <c r="F8" s="6">
        <v>8</v>
      </c>
      <c r="G8" s="6">
        <v>7</v>
      </c>
      <c r="H8" s="6">
        <v>7</v>
      </c>
      <c r="I8" s="53" t="s">
        <v>26</v>
      </c>
      <c r="J8" s="2">
        <f t="shared" si="0"/>
        <v>34</v>
      </c>
    </row>
    <row r="9" spans="1:10" ht="15.6" x14ac:dyDescent="0.3">
      <c r="A9" s="3" t="s">
        <v>8</v>
      </c>
      <c r="B9" s="7">
        <v>2</v>
      </c>
      <c r="C9" s="3" t="s">
        <v>23</v>
      </c>
      <c r="D9" s="6">
        <v>7.5</v>
      </c>
      <c r="E9" s="6">
        <v>8</v>
      </c>
      <c r="F9" s="6">
        <v>7.5</v>
      </c>
      <c r="G9" s="6">
        <v>6</v>
      </c>
      <c r="H9" s="6">
        <v>8</v>
      </c>
      <c r="I9" s="53" t="s">
        <v>27</v>
      </c>
      <c r="J9" s="2">
        <f t="shared" si="0"/>
        <v>37</v>
      </c>
    </row>
  </sheetData>
  <conditionalFormatting sqref="D2:D9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{2CFC4A79-4C6A-457D-B3EB-6865BB1CFB94}</x14:id>
        </ext>
      </extLst>
    </cfRule>
  </conditionalFormatting>
  <conditionalFormatting sqref="D2:H9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{548F5B01-7212-4210-B7F4-9640973415E9}</x14:id>
        </ext>
      </extLst>
    </cfRule>
  </conditionalFormatting>
  <conditionalFormatting sqref="E2:E9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{97B92C72-2555-4F55-B524-FC01D8730007}</x14:id>
        </ext>
      </extLst>
    </cfRule>
  </conditionalFormatting>
  <conditionalFormatting sqref="J2:J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{6C83CF54-38AF-4C03-9856-F88BCAA46F0D}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CFC4A79-4C6A-457D-B3EB-6865BB1CFB9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D2:D9</xm:sqref>
        </x14:conditionalFormatting>
        <x14:conditionalFormatting xmlns:xm="http://schemas.microsoft.com/office/excel/2006/main">
          <x14:cfRule type="dataBar" id="{548F5B01-7212-4210-B7F4-9640973415E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D2:H9</xm:sqref>
        </x14:conditionalFormatting>
        <x14:conditionalFormatting xmlns:xm="http://schemas.microsoft.com/office/excel/2006/main">
          <x14:cfRule type="dataBar" id="{97B92C72-2555-4F55-B524-FC01D873000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E2:E9</xm:sqref>
        </x14:conditionalFormatting>
        <x14:conditionalFormatting xmlns:xm="http://schemas.microsoft.com/office/excel/2006/main">
          <x14:cfRule type="dataBar" id="{6C83CF54-38AF-4C03-9856-F88BCAA46F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J2:J9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5A10C-E724-483B-B26D-F6FC3DBCE4C5}">
  <dimension ref="A1:J9"/>
  <sheetViews>
    <sheetView workbookViewId="0">
      <pane xSplit="3" topLeftCell="D1" activePane="topRight" state="frozen"/>
      <selection pane="topRight" activeCell="C15" sqref="C15"/>
    </sheetView>
  </sheetViews>
  <sheetFormatPr defaultRowHeight="14.4" x14ac:dyDescent="0.3"/>
  <cols>
    <col min="1" max="1" width="17.77734375" bestFit="1" customWidth="1"/>
    <col min="2" max="2" width="20.33203125" bestFit="1" customWidth="1"/>
    <col min="3" max="3" width="23.6640625" bestFit="1" customWidth="1"/>
    <col min="4" max="4" width="29" customWidth="1"/>
    <col min="5" max="5" width="34.21875" customWidth="1"/>
    <col min="6" max="6" width="26.5546875" customWidth="1"/>
    <col min="7" max="7" width="29.33203125" customWidth="1"/>
    <col min="8" max="8" width="36.109375" customWidth="1"/>
    <col min="9" max="9" width="14.109375" customWidth="1"/>
    <col min="10" max="10" width="17" customWidth="1"/>
  </cols>
  <sheetData>
    <row r="1" spans="1:10" ht="40.200000000000003" customHeight="1" x14ac:dyDescent="0.3">
      <c r="A1" s="1" t="s">
        <v>0</v>
      </c>
      <c r="B1" s="1" t="s">
        <v>9</v>
      </c>
      <c r="C1" s="1" t="s">
        <v>11</v>
      </c>
      <c r="D1" s="8" t="s">
        <v>10</v>
      </c>
      <c r="E1" s="8" t="s">
        <v>12</v>
      </c>
      <c r="F1" s="8" t="s">
        <v>13</v>
      </c>
      <c r="G1" s="8" t="s">
        <v>14</v>
      </c>
      <c r="H1" s="8" t="s">
        <v>15</v>
      </c>
      <c r="I1" s="5" t="s">
        <v>24</v>
      </c>
      <c r="J1" s="5" t="s">
        <v>25</v>
      </c>
    </row>
    <row r="2" spans="1:10" ht="15.6" x14ac:dyDescent="0.3">
      <c r="A2" s="3" t="s">
        <v>1</v>
      </c>
      <c r="B2" s="7">
        <v>2</v>
      </c>
      <c r="C2" s="3" t="s">
        <v>16</v>
      </c>
      <c r="D2" s="6">
        <v>6</v>
      </c>
      <c r="E2" s="6">
        <v>8</v>
      </c>
      <c r="F2" s="6">
        <v>5</v>
      </c>
      <c r="G2" s="6">
        <v>6</v>
      </c>
      <c r="H2" s="6">
        <v>5</v>
      </c>
      <c r="I2" s="53" t="s">
        <v>28</v>
      </c>
      <c r="J2" s="2">
        <f>SUM(D2:H2)</f>
        <v>30</v>
      </c>
    </row>
    <row r="3" spans="1:10" ht="15.6" x14ac:dyDescent="0.3">
      <c r="A3" s="3" t="s">
        <v>2</v>
      </c>
      <c r="B3" s="7">
        <v>3</v>
      </c>
      <c r="C3" s="3" t="s">
        <v>17</v>
      </c>
      <c r="D3" s="6">
        <v>7</v>
      </c>
      <c r="E3" s="6">
        <v>6</v>
      </c>
      <c r="F3" s="6">
        <v>6</v>
      </c>
      <c r="G3" s="6">
        <v>7</v>
      </c>
      <c r="H3" s="6">
        <v>5</v>
      </c>
      <c r="I3" s="53" t="s">
        <v>28</v>
      </c>
      <c r="J3" s="2">
        <f t="shared" ref="J3:J9" si="0">SUM(D3:H3)</f>
        <v>31</v>
      </c>
    </row>
    <row r="4" spans="1:10" ht="15.6" x14ac:dyDescent="0.3">
      <c r="A4" s="3" t="s">
        <v>3</v>
      </c>
      <c r="B4" s="7">
        <v>2</v>
      </c>
      <c r="C4" s="3" t="s">
        <v>18</v>
      </c>
      <c r="D4" s="6">
        <v>7</v>
      </c>
      <c r="E4" s="6">
        <v>7</v>
      </c>
      <c r="F4" s="6">
        <v>6.5</v>
      </c>
      <c r="G4" s="6">
        <v>8.5</v>
      </c>
      <c r="H4" s="6">
        <v>7</v>
      </c>
      <c r="I4" s="53" t="s">
        <v>26</v>
      </c>
      <c r="J4" s="2">
        <f t="shared" si="0"/>
        <v>36</v>
      </c>
    </row>
    <row r="5" spans="1:10" ht="15.6" x14ac:dyDescent="0.3">
      <c r="A5" s="3" t="s">
        <v>4</v>
      </c>
      <c r="B5" s="7">
        <v>3</v>
      </c>
      <c r="C5" s="3" t="s">
        <v>19</v>
      </c>
      <c r="D5" s="6">
        <v>6.5</v>
      </c>
      <c r="E5" s="6">
        <v>5</v>
      </c>
      <c r="F5" s="6">
        <v>9</v>
      </c>
      <c r="G5" s="6">
        <v>5</v>
      </c>
      <c r="H5" s="6">
        <v>9</v>
      </c>
      <c r="I5" s="53" t="s">
        <v>26</v>
      </c>
      <c r="J5" s="2">
        <f t="shared" si="0"/>
        <v>34.5</v>
      </c>
    </row>
    <row r="6" spans="1:10" ht="15.6" x14ac:dyDescent="0.3">
      <c r="A6" s="3" t="s">
        <v>5</v>
      </c>
      <c r="B6" s="7">
        <v>2</v>
      </c>
      <c r="C6" s="3" t="s">
        <v>20</v>
      </c>
      <c r="D6" s="6">
        <v>8</v>
      </c>
      <c r="E6" s="6">
        <v>7.5</v>
      </c>
      <c r="F6" s="6">
        <v>5.5</v>
      </c>
      <c r="G6" s="6">
        <v>7</v>
      </c>
      <c r="H6" s="6">
        <v>6</v>
      </c>
      <c r="I6" s="53" t="s">
        <v>26</v>
      </c>
      <c r="J6" s="2">
        <f t="shared" si="0"/>
        <v>34</v>
      </c>
    </row>
    <row r="7" spans="1:10" ht="15.6" x14ac:dyDescent="0.3">
      <c r="A7" s="3" t="s">
        <v>6</v>
      </c>
      <c r="B7" s="7">
        <v>4</v>
      </c>
      <c r="C7" s="3" t="s">
        <v>21</v>
      </c>
      <c r="D7" s="6">
        <v>8</v>
      </c>
      <c r="E7" s="6">
        <v>6</v>
      </c>
      <c r="F7" s="6">
        <v>7</v>
      </c>
      <c r="G7" s="6">
        <v>9</v>
      </c>
      <c r="H7" s="6">
        <v>5.6</v>
      </c>
      <c r="I7" s="53" t="s">
        <v>26</v>
      </c>
      <c r="J7" s="2">
        <f t="shared" si="0"/>
        <v>35.6</v>
      </c>
    </row>
    <row r="8" spans="1:10" ht="15.6" x14ac:dyDescent="0.3">
      <c r="A8" s="3" t="s">
        <v>7</v>
      </c>
      <c r="B8" s="7">
        <v>3</v>
      </c>
      <c r="C8" s="3" t="s">
        <v>22</v>
      </c>
      <c r="D8" s="6">
        <v>7</v>
      </c>
      <c r="E8" s="6">
        <v>7.5</v>
      </c>
      <c r="F8" s="6">
        <v>8.5</v>
      </c>
      <c r="G8" s="6">
        <v>5</v>
      </c>
      <c r="H8" s="6">
        <v>6</v>
      </c>
      <c r="I8" s="53" t="s">
        <v>26</v>
      </c>
      <c r="J8" s="2">
        <f t="shared" si="0"/>
        <v>34</v>
      </c>
    </row>
    <row r="9" spans="1:10" ht="15.6" x14ac:dyDescent="0.3">
      <c r="A9" s="3" t="s">
        <v>8</v>
      </c>
      <c r="B9" s="7">
        <v>2</v>
      </c>
      <c r="C9" s="3" t="s">
        <v>23</v>
      </c>
      <c r="D9" s="6">
        <v>7.5</v>
      </c>
      <c r="E9" s="6">
        <v>9</v>
      </c>
      <c r="F9" s="6">
        <v>7.5</v>
      </c>
      <c r="G9" s="6">
        <v>6</v>
      </c>
      <c r="H9" s="6">
        <v>6.5</v>
      </c>
      <c r="I9" s="53" t="s">
        <v>27</v>
      </c>
      <c r="J9" s="2">
        <f t="shared" si="0"/>
        <v>36.5</v>
      </c>
    </row>
  </sheetData>
  <conditionalFormatting sqref="D2:D9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{9B9C31F0-EF29-4ED6-8BFC-A6981CCCB6CB}</x14:id>
        </ext>
      </extLst>
    </cfRule>
  </conditionalFormatting>
  <conditionalFormatting sqref="D2:H9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{E828EB88-82E6-47CB-B3D1-18211CA51908}</x14:id>
        </ext>
      </extLst>
    </cfRule>
  </conditionalFormatting>
  <conditionalFormatting sqref="E2:E9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{CCE8778B-3675-41B4-B7B1-AD7688DD03D7}</x14:id>
        </ext>
      </extLst>
    </cfRule>
  </conditionalFormatting>
  <conditionalFormatting sqref="J2:J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{F67404FA-BB71-4806-B83D-3D7231F79402}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9C31F0-EF29-4ED6-8BFC-A6981CCCB6C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D2:D9</xm:sqref>
        </x14:conditionalFormatting>
        <x14:conditionalFormatting xmlns:xm="http://schemas.microsoft.com/office/excel/2006/main">
          <x14:cfRule type="dataBar" id="{E828EB88-82E6-47CB-B3D1-18211CA5190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D2:H9</xm:sqref>
        </x14:conditionalFormatting>
        <x14:conditionalFormatting xmlns:xm="http://schemas.microsoft.com/office/excel/2006/main">
          <x14:cfRule type="dataBar" id="{CCE8778B-3675-41B4-B7B1-AD7688DD03D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E2:E9</xm:sqref>
        </x14:conditionalFormatting>
        <x14:conditionalFormatting xmlns:xm="http://schemas.microsoft.com/office/excel/2006/main">
          <x14:cfRule type="dataBar" id="{F67404FA-BB71-4806-B83D-3D7231F794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J2:J9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C5EBE-7AE3-4C71-A2CC-D11D3BDF5F7D}">
  <dimension ref="A1:J9"/>
  <sheetViews>
    <sheetView workbookViewId="0">
      <pane xSplit="3" topLeftCell="F1" activePane="topRight" state="frozen"/>
      <selection pane="topRight" activeCell="I2" sqref="I2:J9"/>
    </sheetView>
  </sheetViews>
  <sheetFormatPr defaultRowHeight="14.4" x14ac:dyDescent="0.3"/>
  <cols>
    <col min="1" max="1" width="17.77734375" bestFit="1" customWidth="1"/>
    <col min="2" max="2" width="20.33203125" bestFit="1" customWidth="1"/>
    <col min="3" max="3" width="23.6640625" bestFit="1" customWidth="1"/>
    <col min="4" max="4" width="28.5546875" customWidth="1"/>
    <col min="5" max="5" width="25.44140625" customWidth="1"/>
    <col min="6" max="6" width="27.88671875" customWidth="1"/>
    <col min="7" max="7" width="22.21875" customWidth="1"/>
    <col min="8" max="8" width="29" customWidth="1"/>
    <col min="9" max="9" width="24.5546875" customWidth="1"/>
    <col min="10" max="10" width="17.44140625" customWidth="1"/>
  </cols>
  <sheetData>
    <row r="1" spans="1:10" ht="71.400000000000006" customHeight="1" x14ac:dyDescent="0.3">
      <c r="A1" s="54" t="s">
        <v>0</v>
      </c>
      <c r="B1" s="54" t="s">
        <v>9</v>
      </c>
      <c r="C1" s="54" t="s">
        <v>11</v>
      </c>
      <c r="D1" s="8" t="s">
        <v>10</v>
      </c>
      <c r="E1" s="8" t="s">
        <v>12</v>
      </c>
      <c r="F1" s="8" t="s">
        <v>13</v>
      </c>
      <c r="G1" s="8" t="s">
        <v>14</v>
      </c>
      <c r="H1" s="8" t="s">
        <v>15</v>
      </c>
      <c r="I1" s="5" t="s">
        <v>24</v>
      </c>
      <c r="J1" s="5" t="s">
        <v>25</v>
      </c>
    </row>
    <row r="2" spans="1:10" ht="15.6" x14ac:dyDescent="0.3">
      <c r="A2" s="3" t="s">
        <v>1</v>
      </c>
      <c r="B2" s="7">
        <v>2</v>
      </c>
      <c r="C2" s="3" t="s">
        <v>16</v>
      </c>
      <c r="D2" s="6">
        <v>5</v>
      </c>
      <c r="E2" s="6">
        <v>5</v>
      </c>
      <c r="F2" s="6">
        <v>5</v>
      </c>
      <c r="G2" s="6">
        <v>6</v>
      </c>
      <c r="H2" s="6">
        <v>6</v>
      </c>
      <c r="I2" s="53" t="s">
        <v>28</v>
      </c>
      <c r="J2" s="2">
        <f>SUM(D2:H2)</f>
        <v>27</v>
      </c>
    </row>
    <row r="3" spans="1:10" ht="15.6" x14ac:dyDescent="0.3">
      <c r="A3" s="3" t="s">
        <v>2</v>
      </c>
      <c r="B3" s="7">
        <v>3</v>
      </c>
      <c r="C3" s="3" t="s">
        <v>17</v>
      </c>
      <c r="D3" s="6">
        <v>7</v>
      </c>
      <c r="E3" s="6">
        <v>6</v>
      </c>
      <c r="F3" s="6">
        <v>6</v>
      </c>
      <c r="G3" s="6">
        <v>7</v>
      </c>
      <c r="H3" s="6">
        <v>5</v>
      </c>
      <c r="I3" s="53" t="s">
        <v>28</v>
      </c>
      <c r="J3" s="2">
        <f t="shared" ref="J3:J9" si="0">SUM(D3:H3)</f>
        <v>31</v>
      </c>
    </row>
    <row r="4" spans="1:10" ht="15.6" x14ac:dyDescent="0.3">
      <c r="A4" s="3" t="s">
        <v>3</v>
      </c>
      <c r="B4" s="7">
        <v>2</v>
      </c>
      <c r="C4" s="3" t="s">
        <v>18</v>
      </c>
      <c r="D4" s="6">
        <v>6</v>
      </c>
      <c r="E4" s="6">
        <v>7</v>
      </c>
      <c r="F4" s="6">
        <v>7</v>
      </c>
      <c r="G4" s="6">
        <v>6</v>
      </c>
      <c r="H4" s="6">
        <v>7</v>
      </c>
      <c r="I4" s="53" t="s">
        <v>28</v>
      </c>
      <c r="J4" s="2">
        <f t="shared" si="0"/>
        <v>33</v>
      </c>
    </row>
    <row r="5" spans="1:10" ht="15.6" x14ac:dyDescent="0.3">
      <c r="A5" s="3" t="s">
        <v>4</v>
      </c>
      <c r="B5" s="7">
        <v>3</v>
      </c>
      <c r="C5" s="3" t="s">
        <v>19</v>
      </c>
      <c r="D5" s="6">
        <v>7.5</v>
      </c>
      <c r="E5" s="6">
        <v>5</v>
      </c>
      <c r="F5" s="6">
        <v>9</v>
      </c>
      <c r="G5" s="6">
        <v>5.5</v>
      </c>
      <c r="H5" s="6">
        <v>8</v>
      </c>
      <c r="I5" s="53" t="s">
        <v>26</v>
      </c>
      <c r="J5" s="2">
        <f t="shared" si="0"/>
        <v>35</v>
      </c>
    </row>
    <row r="6" spans="1:10" ht="15.6" x14ac:dyDescent="0.3">
      <c r="A6" s="3" t="s">
        <v>5</v>
      </c>
      <c r="B6" s="7">
        <v>2</v>
      </c>
      <c r="C6" s="3" t="s">
        <v>20</v>
      </c>
      <c r="D6" s="6">
        <v>8</v>
      </c>
      <c r="E6" s="6">
        <v>6.5</v>
      </c>
      <c r="F6" s="6">
        <v>5.5</v>
      </c>
      <c r="G6" s="6">
        <v>7</v>
      </c>
      <c r="H6" s="6">
        <v>4.5</v>
      </c>
      <c r="I6" s="53" t="s">
        <v>26</v>
      </c>
      <c r="J6" s="2">
        <f t="shared" si="0"/>
        <v>31.5</v>
      </c>
    </row>
    <row r="7" spans="1:10" ht="15.6" x14ac:dyDescent="0.3">
      <c r="A7" s="3" t="s">
        <v>6</v>
      </c>
      <c r="B7" s="7">
        <v>4</v>
      </c>
      <c r="C7" s="3" t="s">
        <v>21</v>
      </c>
      <c r="D7" s="6">
        <v>9</v>
      </c>
      <c r="E7" s="6">
        <v>6</v>
      </c>
      <c r="F7" s="6">
        <v>7</v>
      </c>
      <c r="G7" s="6">
        <v>9</v>
      </c>
      <c r="H7" s="6">
        <v>5.6</v>
      </c>
      <c r="I7" s="53" t="s">
        <v>27</v>
      </c>
      <c r="J7" s="2">
        <f t="shared" si="0"/>
        <v>36.6</v>
      </c>
    </row>
    <row r="8" spans="1:10" ht="15.6" x14ac:dyDescent="0.3">
      <c r="A8" s="3" t="s">
        <v>7</v>
      </c>
      <c r="B8" s="7">
        <v>3</v>
      </c>
      <c r="C8" s="3" t="s">
        <v>22</v>
      </c>
      <c r="D8" s="6">
        <v>7</v>
      </c>
      <c r="E8" s="6">
        <v>7.5</v>
      </c>
      <c r="F8" s="6">
        <v>8.5</v>
      </c>
      <c r="G8" s="6">
        <v>5</v>
      </c>
      <c r="H8" s="6">
        <v>6</v>
      </c>
      <c r="I8" s="53" t="s">
        <v>26</v>
      </c>
      <c r="J8" s="2">
        <f t="shared" si="0"/>
        <v>34</v>
      </c>
    </row>
    <row r="9" spans="1:10" ht="15.6" x14ac:dyDescent="0.3">
      <c r="A9" s="3" t="s">
        <v>8</v>
      </c>
      <c r="B9" s="7">
        <v>2</v>
      </c>
      <c r="C9" s="3" t="s">
        <v>23</v>
      </c>
      <c r="D9" s="6">
        <v>7.5</v>
      </c>
      <c r="E9" s="6">
        <v>8</v>
      </c>
      <c r="F9" s="6">
        <v>7.5</v>
      </c>
      <c r="G9" s="6">
        <v>6</v>
      </c>
      <c r="H9" s="6">
        <v>6.5</v>
      </c>
      <c r="I9" s="53" t="s">
        <v>26</v>
      </c>
      <c r="J9" s="2">
        <f t="shared" si="0"/>
        <v>35.5</v>
      </c>
    </row>
  </sheetData>
  <conditionalFormatting sqref="D2:D9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{5A17260A-A001-4683-ABF9-5C6BDCA91AAD}</x14:id>
        </ext>
      </extLst>
    </cfRule>
  </conditionalFormatting>
  <conditionalFormatting sqref="D2:H9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{D0F88586-0482-4981-A50D-1AD7AA5D2A3E}</x14:id>
        </ext>
      </extLst>
    </cfRule>
  </conditionalFormatting>
  <conditionalFormatting sqref="E2:E9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{8552D092-8C8B-46AC-AB3B-98877BA782AF}</x14:id>
        </ext>
      </extLst>
    </cfRule>
  </conditionalFormatting>
  <conditionalFormatting sqref="J2:J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{156554CA-11AD-43A4-A305-C07EFAB4CF79}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A17260A-A001-4683-ABF9-5C6BDCA91AA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D2:D9</xm:sqref>
        </x14:conditionalFormatting>
        <x14:conditionalFormatting xmlns:xm="http://schemas.microsoft.com/office/excel/2006/main">
          <x14:cfRule type="dataBar" id="{D0F88586-0482-4981-A50D-1AD7AA5D2A3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D2:H9</xm:sqref>
        </x14:conditionalFormatting>
        <x14:conditionalFormatting xmlns:xm="http://schemas.microsoft.com/office/excel/2006/main">
          <x14:cfRule type="dataBar" id="{8552D092-8C8B-46AC-AB3B-98877BA782A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E2:E9</xm:sqref>
        </x14:conditionalFormatting>
        <x14:conditionalFormatting xmlns:xm="http://schemas.microsoft.com/office/excel/2006/main">
          <x14:cfRule type="dataBar" id="{156554CA-11AD-43A4-A305-C07EFAB4CF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J2:J9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B9EA2-3894-40CA-80CE-FB9BC407E86D}">
  <dimension ref="A1:W11"/>
  <sheetViews>
    <sheetView tabSelected="1" workbookViewId="0">
      <pane xSplit="3" topLeftCell="D1" activePane="topRight" state="frozen"/>
      <selection pane="topRight" activeCell="M12" sqref="M12"/>
    </sheetView>
  </sheetViews>
  <sheetFormatPr defaultRowHeight="14.4" x14ac:dyDescent="0.3"/>
  <cols>
    <col min="1" max="1" width="19.44140625" bestFit="1" customWidth="1"/>
    <col min="2" max="2" width="20.33203125" bestFit="1" customWidth="1"/>
    <col min="3" max="3" width="23.6640625" bestFit="1" customWidth="1"/>
    <col min="4" max="4" width="11.44140625" customWidth="1"/>
    <col min="5" max="5" width="9.88671875" customWidth="1"/>
    <col min="6" max="6" width="13.21875" customWidth="1"/>
    <col min="7" max="7" width="10.88671875" customWidth="1"/>
    <col min="8" max="8" width="9.44140625" customWidth="1"/>
    <col min="9" max="9" width="11.88671875" customWidth="1"/>
    <col min="10" max="10" width="10.109375" customWidth="1"/>
    <col min="11" max="11" width="10.21875" customWidth="1"/>
    <col min="13" max="13" width="10.44140625" customWidth="1"/>
    <col min="14" max="14" width="9.6640625" customWidth="1"/>
    <col min="15" max="15" width="12" customWidth="1"/>
    <col min="16" max="16" width="13" customWidth="1"/>
    <col min="18" max="18" width="11.88671875" customWidth="1"/>
    <col min="19" max="19" width="11.33203125" customWidth="1"/>
    <col min="21" max="21" width="12.21875" customWidth="1"/>
    <col min="22" max="22" width="16.44140625" customWidth="1"/>
    <col min="23" max="23" width="13.109375" customWidth="1"/>
    <col min="24" max="24" width="11.88671875" customWidth="1"/>
    <col min="26" max="26" width="11.5546875" customWidth="1"/>
    <col min="29" max="29" width="12" customWidth="1"/>
    <col min="31" max="31" width="12.109375" customWidth="1"/>
  </cols>
  <sheetData>
    <row r="1" spans="1:23" ht="61.8" customHeight="1" thickBot="1" x14ac:dyDescent="0.35">
      <c r="A1" s="66" t="s">
        <v>0</v>
      </c>
      <c r="B1" s="67" t="s">
        <v>9</v>
      </c>
      <c r="C1" s="69" t="s">
        <v>11</v>
      </c>
      <c r="D1" s="60" t="s">
        <v>33</v>
      </c>
      <c r="E1" s="61"/>
      <c r="F1" s="62"/>
      <c r="G1" s="63" t="s">
        <v>32</v>
      </c>
      <c r="H1" s="64"/>
      <c r="I1" s="64"/>
      <c r="J1" s="63" t="s">
        <v>34</v>
      </c>
      <c r="K1" s="64"/>
      <c r="L1" s="64"/>
      <c r="M1" s="63" t="s">
        <v>35</v>
      </c>
      <c r="N1" s="64"/>
      <c r="O1" s="65"/>
      <c r="P1" s="63" t="s">
        <v>36</v>
      </c>
      <c r="Q1" s="64"/>
      <c r="R1" s="64"/>
      <c r="S1" s="55" t="s">
        <v>37</v>
      </c>
      <c r="T1" s="56"/>
      <c r="U1" s="56"/>
      <c r="V1" s="71" t="s">
        <v>39</v>
      </c>
      <c r="W1" s="58" t="s">
        <v>38</v>
      </c>
    </row>
    <row r="2" spans="1:23" ht="47.4" customHeight="1" thickTop="1" thickBot="1" x14ac:dyDescent="0.35">
      <c r="A2" s="57"/>
      <c r="B2" s="68"/>
      <c r="C2" s="70"/>
      <c r="D2" s="10" t="s">
        <v>29</v>
      </c>
      <c r="E2" s="11" t="s">
        <v>30</v>
      </c>
      <c r="F2" s="12" t="s">
        <v>31</v>
      </c>
      <c r="G2" s="10" t="s">
        <v>29</v>
      </c>
      <c r="H2" s="23" t="s">
        <v>30</v>
      </c>
      <c r="I2" s="26" t="s">
        <v>31</v>
      </c>
      <c r="J2" s="10" t="s">
        <v>29</v>
      </c>
      <c r="K2" s="32" t="s">
        <v>30</v>
      </c>
      <c r="L2" s="33" t="s">
        <v>31</v>
      </c>
      <c r="M2" s="10" t="s">
        <v>29</v>
      </c>
      <c r="N2" s="35" t="s">
        <v>30</v>
      </c>
      <c r="O2" s="33" t="s">
        <v>31</v>
      </c>
      <c r="P2" s="10" t="s">
        <v>29</v>
      </c>
      <c r="Q2" s="23" t="s">
        <v>30</v>
      </c>
      <c r="R2" s="26" t="s">
        <v>31</v>
      </c>
      <c r="S2" s="10" t="s">
        <v>29</v>
      </c>
      <c r="T2" s="23" t="s">
        <v>30</v>
      </c>
      <c r="U2" s="33" t="s">
        <v>31</v>
      </c>
      <c r="V2" s="72"/>
      <c r="W2" s="59"/>
    </row>
    <row r="3" spans="1:23" ht="16.2" thickTop="1" x14ac:dyDescent="0.3">
      <c r="A3" s="39" t="s">
        <v>1</v>
      </c>
      <c r="B3" s="40">
        <v>2</v>
      </c>
      <c r="C3" s="41" t="s">
        <v>16</v>
      </c>
      <c r="D3" s="13">
        <f>VLOOKUP(A3,Jury1!$A$1:$J$9,4,FALSE)</f>
        <v>5</v>
      </c>
      <c r="E3" s="17">
        <f>VLOOKUP(A3,Jury2!$A$2:$J$9,4,FALSE)</f>
        <v>6</v>
      </c>
      <c r="F3" s="19">
        <f>VLOOKUP(main_Sheet!A3,Jury3!A1:J9,4,FALSE)</f>
        <v>5</v>
      </c>
      <c r="G3" s="21">
        <f>VLOOKUP(A3,Jury1!A1:J9,5,FALSE)</f>
        <v>8</v>
      </c>
      <c r="H3" s="24">
        <f>VLOOKUP(A3,Jury2!A1:J9,5,FALSE)</f>
        <v>8</v>
      </c>
      <c r="I3" s="27">
        <f>VLOOKUP(A3,Jury3!A1:J9,5,FALSE)</f>
        <v>5</v>
      </c>
      <c r="J3" s="31">
        <f>VLOOKUP(A3,Jury1!A1:J9,6,FALSE)</f>
        <v>5</v>
      </c>
      <c r="K3" s="17">
        <f>VLOOKUP(A3,Jury2!A1:J9,6,FALSE)</f>
        <v>5</v>
      </c>
      <c r="L3" s="19">
        <f>VLOOKUP(A3,Jury1!A1:J9,6,FALSE)</f>
        <v>5</v>
      </c>
      <c r="M3" s="21">
        <f>VLOOKUP(A3,Jury1!A1:J9,7,FALSE)</f>
        <v>6</v>
      </c>
      <c r="N3" s="24">
        <f>VLOOKUP(A3,Jury2!A1:J9,7,FALSE)</f>
        <v>6</v>
      </c>
      <c r="O3" s="19">
        <f>VLOOKUP(A3,Jury3!A1:J9,7,FALSE)</f>
        <v>6</v>
      </c>
      <c r="P3" s="21">
        <f>VLOOKUP(A3,Jury1!A1:J9,8,FALSE)</f>
        <v>5</v>
      </c>
      <c r="Q3" s="37">
        <f>VLOOKUP(A3,Jury2!A1:J9,8,FALSE)</f>
        <v>5</v>
      </c>
      <c r="R3" s="27">
        <f>VLOOKUP(A3,Jury3!A1:J9,8,FALSE)</f>
        <v>6</v>
      </c>
      <c r="S3" s="31">
        <f>SUM(D3,G3,J3,M3,P3)</f>
        <v>29</v>
      </c>
      <c r="T3" s="24">
        <f>SUM(E3,H3,K3,N3,Q3)</f>
        <v>30</v>
      </c>
      <c r="U3" s="28">
        <f>SUM(F3,I3,L3,O3,R3)</f>
        <v>27</v>
      </c>
      <c r="V3" s="73">
        <f>SUM(S3:U3)</f>
        <v>86</v>
      </c>
      <c r="W3" s="74">
        <f>RANK(V3,$V$3:$V$10,0)</f>
        <v>8</v>
      </c>
    </row>
    <row r="4" spans="1:23" ht="15.6" x14ac:dyDescent="0.3">
      <c r="A4" s="42" t="s">
        <v>2</v>
      </c>
      <c r="B4" s="43">
        <v>3</v>
      </c>
      <c r="C4" s="44" t="s">
        <v>17</v>
      </c>
      <c r="D4" s="14">
        <f>VLOOKUP(A4,Jury1!$A$1:$J$9,4,FALSE)</f>
        <v>7</v>
      </c>
      <c r="E4" s="17">
        <f>VLOOKUP(A4,Jury2!$A$2:$J$9,4,FALSE)</f>
        <v>7</v>
      </c>
      <c r="F4" s="19">
        <f>VLOOKUP(main_Sheet!A4,Jury3!A2:J10,4,FALSE)</f>
        <v>7</v>
      </c>
      <c r="G4" s="21">
        <f>VLOOKUP(A4,Jury1!A2:J10,5,)</f>
        <v>5</v>
      </c>
      <c r="H4" s="24">
        <f>VLOOKUP(A4,Jury2!A2:J10,5,FALSE)</f>
        <v>6</v>
      </c>
      <c r="I4" s="28">
        <f>VLOOKUP(A4,Jury3!A2:J10,5,FALSE)</f>
        <v>6</v>
      </c>
      <c r="J4" s="15">
        <f>VLOOKUP(A4,Jury1!A2:J10,6,FALSE)</f>
        <v>6</v>
      </c>
      <c r="K4" s="17">
        <f>VLOOKUP(A4,Jury2!A2:J10,6,FALSE)</f>
        <v>6</v>
      </c>
      <c r="L4" s="19">
        <f>VLOOKUP(A4,Jury1!A2:J10,6,FALSE)</f>
        <v>6</v>
      </c>
      <c r="M4" s="21">
        <f>VLOOKUP(A4,Jury1!A2:J10,7,FALSE)</f>
        <v>7</v>
      </c>
      <c r="N4" s="24">
        <f>VLOOKUP(A4,Jury2!A2:J10,7,FALSE)</f>
        <v>7</v>
      </c>
      <c r="O4" s="29">
        <f>VLOOKUP(A4,Jury3!A2:J10,7,FALSE)</f>
        <v>7</v>
      </c>
      <c r="P4" s="21">
        <f>VLOOKUP(A4,Jury1!A2:J10,8,FALSE)</f>
        <v>6</v>
      </c>
      <c r="Q4" s="37">
        <f>VLOOKUP(A4,Jury2!A2:J10,8,FALSE)</f>
        <v>5</v>
      </c>
      <c r="R4" s="29">
        <f>VLOOKUP(A4,Jury3!A2:J10,8,FALSE)</f>
        <v>5</v>
      </c>
      <c r="S4" s="15">
        <f t="shared" ref="S4:S10" si="0">SUM(D4,G4,J4,M4,P4)</f>
        <v>31</v>
      </c>
      <c r="T4" s="52">
        <f t="shared" ref="T4:T10" si="1">SUM(E4,H4,K4,N4,Q4)</f>
        <v>31</v>
      </c>
      <c r="U4" s="29">
        <f t="shared" ref="U4:U10" si="2">SUM(F4,I4,L4,O4,R4)</f>
        <v>31</v>
      </c>
      <c r="V4" s="73">
        <f t="shared" ref="V4:V10" si="3">SUM(S4:U4)</f>
        <v>93</v>
      </c>
      <c r="W4" s="74">
        <f t="shared" ref="W4:W10" si="4">RANK(V4,$V$3:$V$10,0)</f>
        <v>7</v>
      </c>
    </row>
    <row r="5" spans="1:23" ht="15.6" x14ac:dyDescent="0.3">
      <c r="A5" s="42" t="s">
        <v>3</v>
      </c>
      <c r="B5" s="43">
        <v>2</v>
      </c>
      <c r="C5" s="44" t="s">
        <v>18</v>
      </c>
      <c r="D5" s="14">
        <f>VLOOKUP(A5,Jury1!$A$1:$J$9,4,FALSE)</f>
        <v>6.5</v>
      </c>
      <c r="E5" s="17">
        <f>VLOOKUP(A5,Jury2!$A$2:$J$9,4,FALSE)</f>
        <v>7</v>
      </c>
      <c r="F5" s="19">
        <f>VLOOKUP(main_Sheet!A5,Jury3!A3:J11,4,FALSE)</f>
        <v>6</v>
      </c>
      <c r="G5" s="21">
        <f>VLOOKUP(A5,Jury1!A3:J11,5,)</f>
        <v>7</v>
      </c>
      <c r="H5" s="24">
        <f>VLOOKUP(A5,Jury2!A3:J11,5,FALSE)</f>
        <v>7</v>
      </c>
      <c r="I5" s="28">
        <f>VLOOKUP(A5,Jury3!A3:J11,5,FALSE)</f>
        <v>7</v>
      </c>
      <c r="J5" s="15">
        <f>VLOOKUP(A5,Jury1!A3:J11,6,FALSE)</f>
        <v>7</v>
      </c>
      <c r="K5" s="17">
        <f>VLOOKUP(A5,Jury2!A3:J11,6,FALSE)</f>
        <v>6.5</v>
      </c>
      <c r="L5" s="19">
        <f>VLOOKUP(A5,Jury1!A3:J11,6,FALSE)</f>
        <v>7</v>
      </c>
      <c r="M5" s="21">
        <f>VLOOKUP(A5,Jury1!A3:J11,7,FALSE)</f>
        <v>9</v>
      </c>
      <c r="N5" s="24">
        <f>VLOOKUP(A5,Jury2!A3:J11,7,FALSE)</f>
        <v>8.5</v>
      </c>
      <c r="O5" s="19">
        <f>VLOOKUP(A5,Jury3!A3:J11,7,FALSE)</f>
        <v>6</v>
      </c>
      <c r="P5" s="21">
        <f>VLOOKUP(A5,Jury1!A3:J11,8,FALSE)</f>
        <v>8</v>
      </c>
      <c r="Q5" s="37">
        <f>VLOOKUP(A5,Jury2!A3:J11,8,FALSE)</f>
        <v>7</v>
      </c>
      <c r="R5" s="29">
        <f>VLOOKUP(A5,Jury3!A3:J11,8,FALSE)</f>
        <v>7</v>
      </c>
      <c r="S5" s="15">
        <f t="shared" si="0"/>
        <v>37.5</v>
      </c>
      <c r="T5" s="52">
        <f t="shared" si="1"/>
        <v>36</v>
      </c>
      <c r="U5" s="29">
        <f t="shared" si="2"/>
        <v>33</v>
      </c>
      <c r="V5" s="73">
        <f t="shared" si="3"/>
        <v>106.5</v>
      </c>
      <c r="W5" s="74">
        <f t="shared" si="4"/>
        <v>3</v>
      </c>
    </row>
    <row r="6" spans="1:23" ht="15.6" x14ac:dyDescent="0.3">
      <c r="A6" s="45" t="s">
        <v>4</v>
      </c>
      <c r="B6" s="46">
        <v>3</v>
      </c>
      <c r="C6" s="44" t="s">
        <v>19</v>
      </c>
      <c r="D6" s="14">
        <f>VLOOKUP(A6,Jury1!$A$1:$J$9,4,FALSE)</f>
        <v>6</v>
      </c>
      <c r="E6" s="17">
        <f>VLOOKUP(A6,Jury2!$A$2:$J$9,4,FALSE)</f>
        <v>6.5</v>
      </c>
      <c r="F6" s="19">
        <f>VLOOKUP(main_Sheet!A6,Jury3!A4:J12,4,FALSE)</f>
        <v>7.5</v>
      </c>
      <c r="G6" s="21">
        <f>VLOOKUP(A6,Jury1!A4:J12,5,)</f>
        <v>5</v>
      </c>
      <c r="H6" s="24">
        <f>VLOOKUP(A6,Jury2!A4:J12,5,FALSE)</f>
        <v>5</v>
      </c>
      <c r="I6" s="28">
        <f>VLOOKUP(A6,Jury3!A4:J12,5,FALSE)</f>
        <v>5</v>
      </c>
      <c r="J6" s="15">
        <f>VLOOKUP(A6,Jury1!A4:J12,6,FALSE)</f>
        <v>9</v>
      </c>
      <c r="K6" s="17">
        <f>VLOOKUP(A6,Jury2!A4:J12,6,FALSE)</f>
        <v>9</v>
      </c>
      <c r="L6" s="19">
        <f>VLOOKUP(A6,Jury1!A4:J12,6,FALSE)</f>
        <v>9</v>
      </c>
      <c r="M6" s="21">
        <f>VLOOKUP(A6,Jury1!A4:J12,7,FALSE)</f>
        <v>5</v>
      </c>
      <c r="N6" s="24">
        <f>VLOOKUP(A6,Jury2!A4:J12,7,FALSE)</f>
        <v>5</v>
      </c>
      <c r="O6" s="19">
        <f>VLOOKUP(A6,Jury3!A4:J12,7,FALSE)</f>
        <v>5.5</v>
      </c>
      <c r="P6" s="21">
        <f>VLOOKUP(A6,Jury1!A4:J12,8,FALSE)</f>
        <v>8</v>
      </c>
      <c r="Q6" s="37">
        <f>VLOOKUP(A6,Jury2!A4:J12,8,FALSE)</f>
        <v>9</v>
      </c>
      <c r="R6" s="29">
        <f>VLOOKUP(A6,Jury3!A4:J12,8,FALSE)</f>
        <v>8</v>
      </c>
      <c r="S6" s="15">
        <f t="shared" si="0"/>
        <v>33</v>
      </c>
      <c r="T6" s="52">
        <f t="shared" si="1"/>
        <v>34.5</v>
      </c>
      <c r="U6" s="29">
        <f t="shared" si="2"/>
        <v>35</v>
      </c>
      <c r="V6" s="73">
        <f t="shared" si="3"/>
        <v>102.5</v>
      </c>
      <c r="W6" s="74">
        <f t="shared" si="4"/>
        <v>4</v>
      </c>
    </row>
    <row r="7" spans="1:23" ht="15.6" x14ac:dyDescent="0.3">
      <c r="A7" s="45" t="s">
        <v>5</v>
      </c>
      <c r="B7" s="47">
        <v>2</v>
      </c>
      <c r="C7" s="44" t="s">
        <v>20</v>
      </c>
      <c r="D7" s="14">
        <f>VLOOKUP(A7,Jury1!$A$1:$J$9,4,FALSE)</f>
        <v>8</v>
      </c>
      <c r="E7" s="17">
        <f>VLOOKUP(A7,Jury2!$A$2:$J$9,4,FALSE)</f>
        <v>8</v>
      </c>
      <c r="F7" s="19">
        <f>VLOOKUP(main_Sheet!A7,Jury3!A5:J13,4,FALSE)</f>
        <v>8</v>
      </c>
      <c r="G7" s="21">
        <f>VLOOKUP(A7,Jury1!A5:J13,5,)</f>
        <v>8.5</v>
      </c>
      <c r="H7" s="24">
        <f>VLOOKUP(A7,Jury2!A5:J13,5,FALSE)</f>
        <v>7.5</v>
      </c>
      <c r="I7" s="28">
        <f>VLOOKUP(A7,Jury3!A5:J13,5,FALSE)</f>
        <v>6.5</v>
      </c>
      <c r="J7" s="15">
        <f>VLOOKUP(A7,Jury1!A5:J13,6,FALSE)</f>
        <v>5.5</v>
      </c>
      <c r="K7" s="17">
        <f>VLOOKUP(A7,Jury2!A5:J13,6,FALSE)</f>
        <v>5.5</v>
      </c>
      <c r="L7" s="19">
        <f>VLOOKUP(A7,Jury1!A5:J13,6,FALSE)</f>
        <v>5.5</v>
      </c>
      <c r="M7" s="21">
        <f>VLOOKUP(A7,Jury1!A5:J13,7,FALSE)</f>
        <v>6</v>
      </c>
      <c r="N7" s="24">
        <f>VLOOKUP(A7,Jury2!A5:J13,7,FALSE)</f>
        <v>7</v>
      </c>
      <c r="O7" s="19">
        <f>VLOOKUP(A7,Jury3!A5:J13,7,FALSE)</f>
        <v>7</v>
      </c>
      <c r="P7" s="21">
        <f>VLOOKUP(A7,Jury1!A5:J13,8,FALSE)</f>
        <v>6</v>
      </c>
      <c r="Q7" s="37">
        <f>VLOOKUP(A7,Jury2!A5:J13,8,FALSE)</f>
        <v>6</v>
      </c>
      <c r="R7" s="29">
        <f>VLOOKUP(A7,Jury3!A5:J13,8,FALSE)</f>
        <v>4.5</v>
      </c>
      <c r="S7" s="15">
        <f t="shared" si="0"/>
        <v>34</v>
      </c>
      <c r="T7" s="52">
        <f t="shared" si="1"/>
        <v>34</v>
      </c>
      <c r="U7" s="29">
        <f t="shared" si="2"/>
        <v>31.5</v>
      </c>
      <c r="V7" s="73">
        <f t="shared" si="3"/>
        <v>99.5</v>
      </c>
      <c r="W7" s="75">
        <f t="shared" si="4"/>
        <v>6</v>
      </c>
    </row>
    <row r="8" spans="1:23" ht="15.6" x14ac:dyDescent="0.3">
      <c r="A8" s="45" t="s">
        <v>6</v>
      </c>
      <c r="B8" s="47">
        <v>4</v>
      </c>
      <c r="C8" s="48" t="s">
        <v>21</v>
      </c>
      <c r="D8" s="15">
        <f>VLOOKUP(A8,Jury1!$A$1:$J$9,4,FALSE)</f>
        <v>9</v>
      </c>
      <c r="E8" s="17">
        <f>VLOOKUP(A8,Jury2!$A$2:$J$9,4,FALSE)</f>
        <v>8</v>
      </c>
      <c r="F8" s="19">
        <f>VLOOKUP(main_Sheet!A8,Jury3!A6:J14,4,FALSE)</f>
        <v>9</v>
      </c>
      <c r="G8" s="21">
        <f>VLOOKUP(A8,Jury1!A6:J14,5,)</f>
        <v>6</v>
      </c>
      <c r="H8" s="24">
        <f>VLOOKUP(A8,Jury2!A6:J14,5,FALSE)</f>
        <v>6</v>
      </c>
      <c r="I8" s="28">
        <f>VLOOKUP(A8,Jury3!A6:J14,5,FALSE)</f>
        <v>6</v>
      </c>
      <c r="J8" s="15">
        <f>VLOOKUP(A8,Jury1!A6:J14,6,FALSE)</f>
        <v>7</v>
      </c>
      <c r="K8" s="17">
        <f>VLOOKUP(A8,Jury2!A6:J14,6,FALSE)</f>
        <v>7</v>
      </c>
      <c r="L8" s="19">
        <f>VLOOKUP(A8,Jury1!A6:J14,6,FALSE)</f>
        <v>7</v>
      </c>
      <c r="M8" s="21">
        <f>VLOOKUP(A8,Jury1!A6:J14,7,FALSE)</f>
        <v>8</v>
      </c>
      <c r="N8" s="24">
        <f>VLOOKUP(A8,Jury2!A6:J14,7,FALSE)</f>
        <v>9</v>
      </c>
      <c r="O8" s="19">
        <f>VLOOKUP(A8,Jury3!A6:J14,7,FALSE)</f>
        <v>9</v>
      </c>
      <c r="P8" s="21">
        <f>VLOOKUP(A8,Jury1!A6:J14,8,FALSE)</f>
        <v>5.6</v>
      </c>
      <c r="Q8" s="37">
        <f>VLOOKUP(A8,Jury2!A6:J14,8,FALSE)</f>
        <v>5.6</v>
      </c>
      <c r="R8" s="29">
        <f>VLOOKUP(A8,Jury3!A6:J14,8,FALSE)</f>
        <v>5.6</v>
      </c>
      <c r="S8" s="15">
        <f t="shared" si="0"/>
        <v>35.6</v>
      </c>
      <c r="T8" s="52">
        <f t="shared" si="1"/>
        <v>35.6</v>
      </c>
      <c r="U8" s="29">
        <f t="shared" si="2"/>
        <v>36.6</v>
      </c>
      <c r="V8" s="73">
        <f t="shared" si="3"/>
        <v>107.80000000000001</v>
      </c>
      <c r="W8" s="76">
        <f t="shared" si="4"/>
        <v>2</v>
      </c>
    </row>
    <row r="9" spans="1:23" ht="15.6" x14ac:dyDescent="0.3">
      <c r="A9" s="45" t="s">
        <v>7</v>
      </c>
      <c r="B9" s="47">
        <v>3</v>
      </c>
      <c r="C9" s="48" t="s">
        <v>22</v>
      </c>
      <c r="D9" s="15">
        <f>VLOOKUP(A9,Jury1!$A$1:$J$9,4,FALSE)</f>
        <v>7</v>
      </c>
      <c r="E9" s="17">
        <f>VLOOKUP(A9,Jury2!$A$2:$J$9,4,FALSE)</f>
        <v>7</v>
      </c>
      <c r="F9" s="19">
        <f>VLOOKUP(main_Sheet!A9,Jury3!A7:J15,4,FALSE)</f>
        <v>7</v>
      </c>
      <c r="G9" s="21">
        <f>VLOOKUP(A9,Jury1!A7:J15,5,)</f>
        <v>5</v>
      </c>
      <c r="H9" s="24">
        <f>VLOOKUP(A9,Jury2!A7:J15,5,FALSE)</f>
        <v>7.5</v>
      </c>
      <c r="I9" s="29">
        <f>VLOOKUP(A9,Jury3!A7:J15,5,FALSE)</f>
        <v>7.5</v>
      </c>
      <c r="J9" s="15">
        <f>VLOOKUP(A9,Jury1!A7:J15,6,FALSE)</f>
        <v>8</v>
      </c>
      <c r="K9" s="17">
        <f>VLOOKUP(A9,Jury2!A7:J15,6,FALSE)</f>
        <v>8.5</v>
      </c>
      <c r="L9" s="19">
        <f>VLOOKUP(A9,Jury1!A7:J15,6,FALSE)</f>
        <v>8</v>
      </c>
      <c r="M9" s="21">
        <f>VLOOKUP(A9,Jury1!A7:J15,7,FALSE)</f>
        <v>7</v>
      </c>
      <c r="N9" s="24">
        <f>VLOOKUP(A9,Jury2!A7:J15,7,FALSE)</f>
        <v>5</v>
      </c>
      <c r="O9" s="19">
        <f>VLOOKUP(A9,Jury3!A7:J15,7,FALSE)</f>
        <v>5</v>
      </c>
      <c r="P9" s="21">
        <f>VLOOKUP(A9,Jury1!A7:J15,8,FALSE)</f>
        <v>7</v>
      </c>
      <c r="Q9" s="37">
        <f>VLOOKUP(A9,Jury2!A7:J15,8,FALSE)</f>
        <v>6</v>
      </c>
      <c r="R9" s="29">
        <f>VLOOKUP(A9,Jury3!A7:J15,8,FALSE)</f>
        <v>6</v>
      </c>
      <c r="S9" s="15">
        <f t="shared" si="0"/>
        <v>34</v>
      </c>
      <c r="T9" s="52">
        <f t="shared" si="1"/>
        <v>34</v>
      </c>
      <c r="U9" s="29">
        <f t="shared" si="2"/>
        <v>33.5</v>
      </c>
      <c r="V9" s="73">
        <f t="shared" si="3"/>
        <v>101.5</v>
      </c>
      <c r="W9" s="75">
        <f t="shared" si="4"/>
        <v>5</v>
      </c>
    </row>
    <row r="10" spans="1:23" ht="16.2" thickBot="1" x14ac:dyDescent="0.35">
      <c r="A10" s="49" t="s">
        <v>8</v>
      </c>
      <c r="B10" s="50">
        <v>2</v>
      </c>
      <c r="C10" s="51" t="s">
        <v>23</v>
      </c>
      <c r="D10" s="16">
        <f>VLOOKUP(A10,Jury1!$A$1:$J$9,4,FALSE)</f>
        <v>7.5</v>
      </c>
      <c r="E10" s="18">
        <f>VLOOKUP(A10,Jury2!$A$2:$J$9,4,FALSE)</f>
        <v>7.5</v>
      </c>
      <c r="F10" s="20">
        <f>VLOOKUP(main_Sheet!A10,Jury3!A8:J16,4,FALSE)</f>
        <v>7.5</v>
      </c>
      <c r="G10" s="22">
        <f>VLOOKUP(A10,Jury1!A8:J16,5,)</f>
        <v>8</v>
      </c>
      <c r="H10" s="25">
        <f>VLOOKUP(A10,Jury2!A8:J16,5,FALSE)</f>
        <v>9</v>
      </c>
      <c r="I10" s="30">
        <f>VLOOKUP(A10,Jury3!A8:J16,5,FALSE)</f>
        <v>8</v>
      </c>
      <c r="J10" s="16">
        <f>VLOOKUP(A10,Jury1!A8:J16,6,FALSE)</f>
        <v>7.5</v>
      </c>
      <c r="K10" s="25">
        <f>VLOOKUP(A10,Jury2!A8:J16,6,FALSE)</f>
        <v>7.5</v>
      </c>
      <c r="L10" s="34">
        <f>VLOOKUP(A10,Jury1!A8:J16,6,FALSE)</f>
        <v>7.5</v>
      </c>
      <c r="M10" s="22">
        <f>VLOOKUP(A10,Jury1!A8:J16,7,FALSE)</f>
        <v>6</v>
      </c>
      <c r="N10" s="25">
        <f>VLOOKUP(A10,Jury2!A8:J16,7,FALSE)</f>
        <v>6</v>
      </c>
      <c r="O10" s="36">
        <f>VLOOKUP(A10,Jury3!A8:J16,7,FALSE)</f>
        <v>6</v>
      </c>
      <c r="P10" s="22">
        <f>VLOOKUP(A10,Jury1!A8:J16,8,FALSE)</f>
        <v>8</v>
      </c>
      <c r="Q10" s="38">
        <f>VLOOKUP(A10,Jury2!A8:J16,8,FALSE)</f>
        <v>6.5</v>
      </c>
      <c r="R10" s="30">
        <f>VLOOKUP(A10,Jury3!A8:J16,8,FALSE)</f>
        <v>6.5</v>
      </c>
      <c r="S10" s="16">
        <f t="shared" si="0"/>
        <v>37</v>
      </c>
      <c r="T10" s="25">
        <f t="shared" si="1"/>
        <v>36.5</v>
      </c>
      <c r="U10" s="30">
        <f t="shared" si="2"/>
        <v>35.5</v>
      </c>
      <c r="V10" s="77">
        <f t="shared" si="3"/>
        <v>109</v>
      </c>
      <c r="W10" s="78">
        <f t="shared" si="4"/>
        <v>1</v>
      </c>
    </row>
    <row r="11" spans="1:23" ht="15" thickTop="1" x14ac:dyDescent="0.3">
      <c r="L11" s="9"/>
      <c r="Q11" s="9"/>
    </row>
  </sheetData>
  <mergeCells count="11">
    <mergeCell ref="A1:A2"/>
    <mergeCell ref="B1:B2"/>
    <mergeCell ref="C1:C2"/>
    <mergeCell ref="S1:U1"/>
    <mergeCell ref="V1:V2"/>
    <mergeCell ref="W1:W2"/>
    <mergeCell ref="D1:F1"/>
    <mergeCell ref="G1:I1"/>
    <mergeCell ref="J1:L1"/>
    <mergeCell ref="M1:O1"/>
    <mergeCell ref="P1:R1"/>
  </mergeCells>
  <conditionalFormatting sqref="P17">
    <cfRule type="top10" dxfId="4" priority="1" rank="10"/>
  </conditionalFormatting>
  <conditionalFormatting sqref="V3:V10">
    <cfRule type="top10" dxfId="3" priority="3" rank="3"/>
  </conditionalFormatting>
  <conditionalFormatting sqref="W3:W10">
    <cfRule type="top10" dxfId="2" priority="2" bottom="1" rank="3"/>
    <cfRule type="cellIs" dxfId="1" priority="4" operator="equal">
      <formula>1</formula>
    </cfRule>
  </conditionalFormatting>
  <conditionalFormatting sqref="X11">
    <cfRule type="cellIs" dxfId="0" priority="5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Jury1</vt:lpstr>
      <vt:lpstr>Jury2</vt:lpstr>
      <vt:lpstr>Jury3</vt:lpstr>
      <vt:lpstr>main_Sheet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charu02.k@gmail.com</dc:creator>
  <cp:lastModifiedBy>charu02.k@gmail.com</cp:lastModifiedBy>
  <dcterms:created xsi:type="dcterms:W3CDTF">2025-09-23T16:49:11Z</dcterms:created>
  <dcterms:modified xsi:type="dcterms:W3CDTF">2025-09-23T19:40:55Z</dcterms:modified>
</cp:coreProperties>
</file>